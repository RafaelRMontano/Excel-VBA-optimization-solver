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ae\Downloads\"/>
    </mc:Choice>
  </mc:AlternateContent>
  <xr:revisionPtr revIDLastSave="0" documentId="13_ncr:1_{D47B81A6-0A65-4BD7-90F7-D76C9153BA3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odel" sheetId="1" r:id="rId1"/>
    <sheet name="Scenarios" sheetId="6" r:id="rId2"/>
    <sheet name="Results" sheetId="7" r:id="rId3"/>
    <sheet name="Chart1" sheetId="2" state="hidden" r:id="rId4"/>
  </sheets>
  <definedNames>
    <definedName name="Capacities">Model!$I$13:$I$15</definedName>
    <definedName name="Demands">Model!$C$18:$F$18</definedName>
    <definedName name="Shipped">Model!$C$13:$F$15</definedName>
    <definedName name="ShippedIn">Model!$C$16:$F$16</definedName>
    <definedName name="ShippedOut">Model!$G$13:$G$15</definedName>
    <definedName name="solver_adj" localSheetId="0" hidden="1">Model!$C$13:$F$15</definedName>
    <definedName name="solver_cvg" localSheetId="0" hidden="1">0.001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bd" localSheetId="0" hidden="1">2</definedName>
    <definedName name="solver_itr" localSheetId="0" hidden="1">100</definedName>
    <definedName name="solver_lhs1" localSheetId="0" hidden="1">Model!$C$16:$F$16</definedName>
    <definedName name="solver_lhs10" localSheetId="0" hidden="1">Model!$G$13:$G$15</definedName>
    <definedName name="solver_lhs11" localSheetId="0" hidden="1">Model!$C$16:$F$16</definedName>
    <definedName name="solver_lhs12" localSheetId="0" hidden="1">Model!$G$13:$G$15</definedName>
    <definedName name="solver_lhs13" localSheetId="0" hidden="1">Model!$C$16:$F$16</definedName>
    <definedName name="solver_lhs14" localSheetId="0" hidden="1">Model!$G$13:$G$15</definedName>
    <definedName name="solver_lhs15" localSheetId="0" hidden="1">Model!$C$16:$F$16</definedName>
    <definedName name="solver_lhs16" localSheetId="0" hidden="1">Model!$G$13:$G$15</definedName>
    <definedName name="solver_lhs17" localSheetId="0" hidden="1">Model!$C$16:$F$16</definedName>
    <definedName name="solver_lhs18" localSheetId="0" hidden="1">Model!$G$13:$G$15</definedName>
    <definedName name="solver_lhs19" localSheetId="0" hidden="1">Model!$C$16:$F$16</definedName>
    <definedName name="solver_lhs2" localSheetId="0" hidden="1">Model!$G$13:$G$15</definedName>
    <definedName name="solver_lhs20" localSheetId="0" hidden="1">Model!$G$13:$G$15</definedName>
    <definedName name="solver_lhs21" localSheetId="0" hidden="1">Model!$C$16:$F$16</definedName>
    <definedName name="solver_lhs22" localSheetId="0" hidden="1">Model!$G$13:$G$15</definedName>
    <definedName name="solver_lhs23" localSheetId="0" hidden="1">Model!$C$16:$F$16</definedName>
    <definedName name="solver_lhs24" localSheetId="0" hidden="1">Model!$G$13:$G$15</definedName>
    <definedName name="solver_lhs25" localSheetId="0" hidden="1">Model!$C$16:$F$16</definedName>
    <definedName name="solver_lhs26" localSheetId="0" hidden="1">Model!$G$13:$G$15</definedName>
    <definedName name="solver_lhs27" localSheetId="0" hidden="1">Model!$C$16:$F$16</definedName>
    <definedName name="solver_lhs28" localSheetId="0" hidden="1">Model!$G$13:$G$15</definedName>
    <definedName name="solver_lhs29" localSheetId="0" hidden="1">Model!$C$16:$F$16</definedName>
    <definedName name="solver_lhs3" localSheetId="0" hidden="1">Model!$C$16:$F$16</definedName>
    <definedName name="solver_lhs30" localSheetId="0" hidden="1">Model!$G$13:$G$15</definedName>
    <definedName name="solver_lhs31" localSheetId="0" hidden="1">Model!$C$16:$F$16</definedName>
    <definedName name="solver_lhs32" localSheetId="0" hidden="1">Model!$G$13:$G$15</definedName>
    <definedName name="solver_lhs33" localSheetId="0" hidden="1">Model!$C$16:$F$16</definedName>
    <definedName name="solver_lhs34" localSheetId="0" hidden="1">Model!$G$13:$G$15</definedName>
    <definedName name="solver_lhs35" localSheetId="0" hidden="1">Model!$C$16:$F$16</definedName>
    <definedName name="solver_lhs36" localSheetId="0" hidden="1">Model!$G$13:$G$15</definedName>
    <definedName name="solver_lhs37" localSheetId="0" hidden="1">Model!$C$16:$F$16</definedName>
    <definedName name="solver_lhs38" localSheetId="0" hidden="1">Model!$G$13:$G$15</definedName>
    <definedName name="solver_lhs39" localSheetId="0" hidden="1">Model!$C$16:$F$16</definedName>
    <definedName name="solver_lhs4" localSheetId="0" hidden="1">Model!$G$13:$G$15</definedName>
    <definedName name="solver_lhs40" localSheetId="0" hidden="1">Model!$G$13:$G$15</definedName>
    <definedName name="solver_lhs41" localSheetId="0" hidden="1">Model!$C$16:$F$16</definedName>
    <definedName name="solver_lhs42" localSheetId="0" hidden="1">Model!$G$13:$G$15</definedName>
    <definedName name="solver_lhs43" localSheetId="0" hidden="1">Model!$C$16:$F$16</definedName>
    <definedName name="solver_lhs44" localSheetId="0" hidden="1">Model!$G$13:$G$15</definedName>
    <definedName name="solver_lhs45" localSheetId="0" hidden="1">Model!$C$16:$F$16</definedName>
    <definedName name="solver_lhs46" localSheetId="0" hidden="1">Model!$G$13:$G$15</definedName>
    <definedName name="solver_lhs47" localSheetId="0" hidden="1">Model!$C$16:$F$16</definedName>
    <definedName name="solver_lhs48" localSheetId="0" hidden="1">Model!$G$13:$G$15</definedName>
    <definedName name="solver_lhs49" localSheetId="0" hidden="1">Model!$C$16:$F$16</definedName>
    <definedName name="solver_lhs5" localSheetId="0" hidden="1">Model!$C$16:$F$16</definedName>
    <definedName name="solver_lhs50" localSheetId="0" hidden="1">Model!$G$13:$G$15</definedName>
    <definedName name="solver_lhs51" localSheetId="0" hidden="1">Model!$C$16:$F$16</definedName>
    <definedName name="solver_lhs52" localSheetId="0" hidden="1">Model!$G$13:$G$15</definedName>
    <definedName name="solver_lhs53" localSheetId="0" hidden="1">Model!$C$16:$F$16</definedName>
    <definedName name="solver_lhs54" localSheetId="0" hidden="1">Model!$G$13:$G$15</definedName>
    <definedName name="solver_lhs55" localSheetId="0" hidden="1">Model!$C$16:$F$16</definedName>
    <definedName name="solver_lhs56" localSheetId="0" hidden="1">Model!$G$13:$G$15</definedName>
    <definedName name="solver_lhs57" localSheetId="0" hidden="1">Model!$C$16:$F$16</definedName>
    <definedName name="solver_lhs58" localSheetId="0" hidden="1">Model!$G$13:$G$15</definedName>
    <definedName name="solver_lhs59" localSheetId="0" hidden="1">Model!$C$16:$F$16</definedName>
    <definedName name="solver_lhs6" localSheetId="0" hidden="1">Model!$G$13:$G$15</definedName>
    <definedName name="solver_lhs60" localSheetId="0" hidden="1">Model!$G$13:$G$15</definedName>
    <definedName name="solver_lhs61" localSheetId="0" hidden="1">Model!$C$16:$F$16</definedName>
    <definedName name="solver_lhs62" localSheetId="0" hidden="1">Model!$G$13:$G$15</definedName>
    <definedName name="solver_lhs7" localSheetId="0" hidden="1">Model!$C$16:$F$16</definedName>
    <definedName name="solver_lhs8" localSheetId="0" hidden="1">Model!$G$13:$G$15</definedName>
    <definedName name="solver_lhs9" localSheetId="0" hidden="1">Model!$C$16:$F$16</definedName>
    <definedName name="solver_lin" localSheetId="0" hidden="1">1</definedName>
    <definedName name="solver_lva" localSheetId="0" hidden="1">2</definedName>
    <definedName name="solver_mip" localSheetId="0" hidden="1">5000</definedName>
    <definedName name="solver_mni" localSheetId="0" hidden="1">30</definedName>
    <definedName name="solver_mrt" localSheetId="0" hidden="1">0.075</definedName>
    <definedName name="solver_neg" localSheetId="0" hidden="1">1</definedName>
    <definedName name="solver_nod" localSheetId="0" hidden="1">5000</definedName>
    <definedName name="solver_num" localSheetId="0" hidden="1">2</definedName>
    <definedName name="solver_nwt" localSheetId="0" hidden="1">1</definedName>
    <definedName name="solver_ofx" localSheetId="0" hidden="1">2</definedName>
    <definedName name="solver_opt" localSheetId="0" hidden="1">Model!$B$20</definedName>
    <definedName name="solver_piv" localSheetId="0" hidden="1">0.000001</definedName>
    <definedName name="solver_pre" localSheetId="0" hidden="1">0.000001</definedName>
    <definedName name="solver_pro" localSheetId="0" hidden="1">2</definedName>
    <definedName name="solver_rbv" localSheetId="0" hidden="1">1</definedName>
    <definedName name="solver_red" localSheetId="0" hidden="1">0.000001</definedName>
    <definedName name="solver_rel1" localSheetId="0" hidden="1">1</definedName>
    <definedName name="solver_rel10" localSheetId="0" hidden="1">3</definedName>
    <definedName name="solver_rel11" localSheetId="0" hidden="1">1</definedName>
    <definedName name="solver_rel12" localSheetId="0" hidden="1">3</definedName>
    <definedName name="solver_rel13" localSheetId="0" hidden="1">1</definedName>
    <definedName name="solver_rel14" localSheetId="0" hidden="1">3</definedName>
    <definedName name="solver_rel15" localSheetId="0" hidden="1">1</definedName>
    <definedName name="solver_rel16" localSheetId="0" hidden="1">3</definedName>
    <definedName name="solver_rel17" localSheetId="0" hidden="1">1</definedName>
    <definedName name="solver_rel18" localSheetId="0" hidden="1">3</definedName>
    <definedName name="solver_rel19" localSheetId="0" hidden="1">1</definedName>
    <definedName name="solver_rel2" localSheetId="0" hidden="1">3</definedName>
    <definedName name="solver_rel20" localSheetId="0" hidden="1">3</definedName>
    <definedName name="solver_rel21" localSheetId="0" hidden="1">1</definedName>
    <definedName name="solver_rel22" localSheetId="0" hidden="1">3</definedName>
    <definedName name="solver_rel23" localSheetId="0" hidden="1">1</definedName>
    <definedName name="solver_rel24" localSheetId="0" hidden="1">3</definedName>
    <definedName name="solver_rel25" localSheetId="0" hidden="1">1</definedName>
    <definedName name="solver_rel26" localSheetId="0" hidden="1">3</definedName>
    <definedName name="solver_rel27" localSheetId="0" hidden="1">1</definedName>
    <definedName name="solver_rel28" localSheetId="0" hidden="1">3</definedName>
    <definedName name="solver_rel29" localSheetId="0" hidden="1">1</definedName>
    <definedName name="solver_rel3" localSheetId="0" hidden="1">1</definedName>
    <definedName name="solver_rel30" localSheetId="0" hidden="1">3</definedName>
    <definedName name="solver_rel31" localSheetId="0" hidden="1">1</definedName>
    <definedName name="solver_rel32" localSheetId="0" hidden="1">3</definedName>
    <definedName name="solver_rel33" localSheetId="0" hidden="1">1</definedName>
    <definedName name="solver_rel34" localSheetId="0" hidden="1">3</definedName>
    <definedName name="solver_rel35" localSheetId="0" hidden="1">1</definedName>
    <definedName name="solver_rel36" localSheetId="0" hidden="1">3</definedName>
    <definedName name="solver_rel37" localSheetId="0" hidden="1">1</definedName>
    <definedName name="solver_rel38" localSheetId="0" hidden="1">3</definedName>
    <definedName name="solver_rel39" localSheetId="0" hidden="1">1</definedName>
    <definedName name="solver_rel4" localSheetId="0" hidden="1">3</definedName>
    <definedName name="solver_rel40" localSheetId="0" hidden="1">3</definedName>
    <definedName name="solver_rel41" localSheetId="0" hidden="1">1</definedName>
    <definedName name="solver_rel42" localSheetId="0" hidden="1">3</definedName>
    <definedName name="solver_rel43" localSheetId="0" hidden="1">1</definedName>
    <definedName name="solver_rel44" localSheetId="0" hidden="1">3</definedName>
    <definedName name="solver_rel45" localSheetId="0" hidden="1">1</definedName>
    <definedName name="solver_rel46" localSheetId="0" hidden="1">3</definedName>
    <definedName name="solver_rel47" localSheetId="0" hidden="1">1</definedName>
    <definedName name="solver_rel48" localSheetId="0" hidden="1">3</definedName>
    <definedName name="solver_rel49" localSheetId="0" hidden="1">1</definedName>
    <definedName name="solver_rel5" localSheetId="0" hidden="1">1</definedName>
    <definedName name="solver_rel50" localSheetId="0" hidden="1">3</definedName>
    <definedName name="solver_rel51" localSheetId="0" hidden="1">1</definedName>
    <definedName name="solver_rel52" localSheetId="0" hidden="1">3</definedName>
    <definedName name="solver_rel53" localSheetId="0" hidden="1">1</definedName>
    <definedName name="solver_rel54" localSheetId="0" hidden="1">3</definedName>
    <definedName name="solver_rel55" localSheetId="0" hidden="1">1</definedName>
    <definedName name="solver_rel56" localSheetId="0" hidden="1">3</definedName>
    <definedName name="solver_rel57" localSheetId="0" hidden="1">1</definedName>
    <definedName name="solver_rel58" localSheetId="0" hidden="1">3</definedName>
    <definedName name="solver_rel59" localSheetId="0" hidden="1">1</definedName>
    <definedName name="solver_rel6" localSheetId="0" hidden="1">3</definedName>
    <definedName name="solver_rel60" localSheetId="0" hidden="1">3</definedName>
    <definedName name="solver_rel61" localSheetId="0" hidden="1">1</definedName>
    <definedName name="solver_rel62" localSheetId="0" hidden="1">3</definedName>
    <definedName name="solver_rel7" localSheetId="0" hidden="1">1</definedName>
    <definedName name="solver_rel8" localSheetId="0" hidden="1">3</definedName>
    <definedName name="solver_rel9" localSheetId="0" hidden="1">1</definedName>
    <definedName name="solver_reo" localSheetId="0" hidden="1">2</definedName>
    <definedName name="solver_rep" localSheetId="0" hidden="1">2</definedName>
    <definedName name="solver_rhs1" localSheetId="0" hidden="1">Model!$C$18:$F$18</definedName>
    <definedName name="solver_rhs10" localSheetId="0" hidden="1">Model!$I$13:$I$15</definedName>
    <definedName name="solver_rhs11" localSheetId="0" hidden="1">Model!$C$18:$F$18</definedName>
    <definedName name="solver_rhs12" localSheetId="0" hidden="1">Model!$I$13:$I$15</definedName>
    <definedName name="solver_rhs13" localSheetId="0" hidden="1">Model!$C$18:$F$18</definedName>
    <definedName name="solver_rhs14" localSheetId="0" hidden="1">Model!$I$13:$I$15</definedName>
    <definedName name="solver_rhs15" localSheetId="0" hidden="1">Model!$C$18:$F$18</definedName>
    <definedName name="solver_rhs16" localSheetId="0" hidden="1">Model!$I$13:$I$15</definedName>
    <definedName name="solver_rhs17" localSheetId="0" hidden="1">Model!$C$18:$F$18</definedName>
    <definedName name="solver_rhs18" localSheetId="0" hidden="1">Model!$I$13:$I$15</definedName>
    <definedName name="solver_rhs19" localSheetId="0" hidden="1">Model!$C$18:$F$18</definedName>
    <definedName name="solver_rhs2" localSheetId="0" hidden="1">Model!$I$13:$I$15</definedName>
    <definedName name="solver_rhs20" localSheetId="0" hidden="1">Model!$I$13:$I$15</definedName>
    <definedName name="solver_rhs21" localSheetId="0" hidden="1">Model!$C$18:$F$18</definedName>
    <definedName name="solver_rhs22" localSheetId="0" hidden="1">Model!$I$13:$I$15</definedName>
    <definedName name="solver_rhs23" localSheetId="0" hidden="1">Model!$C$18:$F$18</definedName>
    <definedName name="solver_rhs24" localSheetId="0" hidden="1">Model!$I$13:$I$15</definedName>
    <definedName name="solver_rhs25" localSheetId="0" hidden="1">Model!$C$18:$F$18</definedName>
    <definedName name="solver_rhs26" localSheetId="0" hidden="1">Model!$I$13:$I$15</definedName>
    <definedName name="solver_rhs27" localSheetId="0" hidden="1">Model!$C$18:$F$18</definedName>
    <definedName name="solver_rhs28" localSheetId="0" hidden="1">Model!$I$13:$I$15</definedName>
    <definedName name="solver_rhs29" localSheetId="0" hidden="1">Model!$C$18:$F$18</definedName>
    <definedName name="solver_rhs3" localSheetId="0" hidden="1">Model!$C$18:$F$18</definedName>
    <definedName name="solver_rhs30" localSheetId="0" hidden="1">Model!$I$13:$I$15</definedName>
    <definedName name="solver_rhs31" localSheetId="0" hidden="1">Model!$C$18:$F$18</definedName>
    <definedName name="solver_rhs32" localSheetId="0" hidden="1">Model!$I$13:$I$15</definedName>
    <definedName name="solver_rhs33" localSheetId="0" hidden="1">Model!$C$18:$F$18</definedName>
    <definedName name="solver_rhs34" localSheetId="0" hidden="1">Model!$I$13:$I$15</definedName>
    <definedName name="solver_rhs35" localSheetId="0" hidden="1">Model!$C$18:$F$18</definedName>
    <definedName name="solver_rhs36" localSheetId="0" hidden="1">Model!$I$13:$I$15</definedName>
    <definedName name="solver_rhs37" localSheetId="0" hidden="1">Model!$C$18:$F$18</definedName>
    <definedName name="solver_rhs38" localSheetId="0" hidden="1">Model!$I$13:$I$15</definedName>
    <definedName name="solver_rhs39" localSheetId="0" hidden="1">Model!$C$18:$F$18</definedName>
    <definedName name="solver_rhs4" localSheetId="0" hidden="1">Model!$I$13:$I$15</definedName>
    <definedName name="solver_rhs40" localSheetId="0" hidden="1">Model!$I$13:$I$15</definedName>
    <definedName name="solver_rhs41" localSheetId="0" hidden="1">Model!$C$18:$F$18</definedName>
    <definedName name="solver_rhs42" localSheetId="0" hidden="1">Model!$I$13:$I$15</definedName>
    <definedName name="solver_rhs43" localSheetId="0" hidden="1">Model!$C$18:$F$18</definedName>
    <definedName name="solver_rhs44" localSheetId="0" hidden="1">Model!$I$13:$I$15</definedName>
    <definedName name="solver_rhs45" localSheetId="0" hidden="1">Model!$C$18:$F$18</definedName>
    <definedName name="solver_rhs46" localSheetId="0" hidden="1">Model!$I$13:$I$15</definedName>
    <definedName name="solver_rhs47" localSheetId="0" hidden="1">Model!$C$18:$F$18</definedName>
    <definedName name="solver_rhs48" localSheetId="0" hidden="1">Model!$I$13:$I$15</definedName>
    <definedName name="solver_rhs49" localSheetId="0" hidden="1">Model!$C$18:$F$18</definedName>
    <definedName name="solver_rhs5" localSheetId="0" hidden="1">Model!$C$18:$F$18</definedName>
    <definedName name="solver_rhs50" localSheetId="0" hidden="1">Model!$I$13:$I$15</definedName>
    <definedName name="solver_rhs51" localSheetId="0" hidden="1">Model!$C$18:$F$18</definedName>
    <definedName name="solver_rhs52" localSheetId="0" hidden="1">Model!$I$13:$I$15</definedName>
    <definedName name="solver_rhs53" localSheetId="0" hidden="1">Model!$C$18:$F$18</definedName>
    <definedName name="solver_rhs54" localSheetId="0" hidden="1">Model!$I$13:$I$15</definedName>
    <definedName name="solver_rhs55" localSheetId="0" hidden="1">Model!$C$18:$F$18</definedName>
    <definedName name="solver_rhs56" localSheetId="0" hidden="1">Model!$I$13:$I$15</definedName>
    <definedName name="solver_rhs57" localSheetId="0" hidden="1">Model!$C$18:$F$18</definedName>
    <definedName name="solver_rhs58" localSheetId="0" hidden="1">Model!$I$13:$I$15</definedName>
    <definedName name="solver_rhs59" localSheetId="0" hidden="1">Model!$C$18:$F$18</definedName>
    <definedName name="solver_rhs6" localSheetId="0" hidden="1">Model!$I$13:$I$15</definedName>
    <definedName name="solver_rhs60" localSheetId="0" hidden="1">Model!$I$13:$I$15</definedName>
    <definedName name="solver_rhs61" localSheetId="0" hidden="1">Model!$C$18:$F$18</definedName>
    <definedName name="solver_rhs62" localSheetId="0" hidden="1">Model!$I$13:$I$15</definedName>
    <definedName name="solver_rhs7" localSheetId="0" hidden="1">Model!$C$18:$F$18</definedName>
    <definedName name="solver_rhs8" localSheetId="0" hidden="1">Model!$I$13:$I$15</definedName>
    <definedName name="solver_rhs9" localSheetId="0" hidden="1">Model!$C$18:$F$18</definedName>
    <definedName name="solver_rlx" localSheetId="0" hidden="1">2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std" localSheetId="0" hidden="1">1</definedName>
    <definedName name="solver_tim" localSheetId="0" hidden="1">100</definedName>
    <definedName name="solver_tmp" localSheetId="0" hidden="1">Model!$C$18:$F$18</definedName>
    <definedName name="solver_tol" localSheetId="0" hidden="1">0.05</definedName>
    <definedName name="solver_typ" localSheetId="0" hidden="1">2</definedName>
    <definedName name="solver_val" localSheetId="0" hidden="1">0</definedName>
    <definedName name="solver_ver" localSheetId="0" hidden="1">3</definedName>
    <definedName name="TotalCost">Model!$B$20</definedName>
    <definedName name="UnitCosts">Model!$C$6:$F$8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0" i="1" l="1"/>
  <c r="C16" i="1"/>
  <c r="D16" i="1"/>
  <c r="E16" i="1"/>
  <c r="F16" i="1"/>
  <c r="G13" i="1"/>
  <c r="G14" i="1"/>
  <c r="G15" i="1"/>
</calcChain>
</file>

<file path=xl/sharedStrings.xml><?xml version="1.0" encoding="utf-8"?>
<sst xmlns="http://schemas.openxmlformats.org/spreadsheetml/2006/main" count="71" uniqueCount="46">
  <si>
    <t>Unit shipping costs</t>
  </si>
  <si>
    <t>To</t>
  </si>
  <si>
    <t>City 1</t>
  </si>
  <si>
    <t>City 2</t>
  </si>
  <si>
    <t>City 3</t>
  </si>
  <si>
    <t>City 4</t>
  </si>
  <si>
    <t>Plant 1</t>
  </si>
  <si>
    <t>From</t>
  </si>
  <si>
    <t>Plant 2</t>
  </si>
  <si>
    <t>Plant 3</t>
  </si>
  <si>
    <t>Total cost</t>
  </si>
  <si>
    <t>Shipments</t>
  </si>
  <si>
    <t>Total shipped</t>
  </si>
  <si>
    <t>&lt;=</t>
  </si>
  <si>
    <t>Total received</t>
  </si>
  <si>
    <t>&gt;=</t>
  </si>
  <si>
    <t>Capacity</t>
  </si>
  <si>
    <t>Demand</t>
  </si>
  <si>
    <t>Capacities</t>
  </si>
  <si>
    <t>Demands</t>
  </si>
  <si>
    <t>Possible scenarios</t>
  </si>
  <si>
    <t>Scenario 1</t>
  </si>
  <si>
    <t>Scenario 2</t>
  </si>
  <si>
    <t>Scenario 3</t>
  </si>
  <si>
    <t>Scenario 4</t>
  </si>
  <si>
    <t>Scenario 5</t>
  </si>
  <si>
    <t>Shipments and total cost for each scenario</t>
  </si>
  <si>
    <t>Transportation model</t>
  </si>
  <si>
    <t>Range names used:</t>
  </si>
  <si>
    <t>=Model!$I$13:$I$15</t>
  </si>
  <si>
    <t>=Model!$C$18:$F$18</t>
  </si>
  <si>
    <t>Shipped</t>
  </si>
  <si>
    <t>=Model!$C$13:$F$15</t>
  </si>
  <si>
    <t>ShippedIn</t>
  </si>
  <si>
    <t>=Model!$C$16:$F$16</t>
  </si>
  <si>
    <t>ShippedOut</t>
  </si>
  <si>
    <t>=Model!$G$13:$G$15</t>
  </si>
  <si>
    <t>TotalCost</t>
  </si>
  <si>
    <t>=Model!$B$20</t>
  </si>
  <si>
    <t>UnitCosts</t>
  </si>
  <si>
    <t>=Model!$C$6:$F$8</t>
  </si>
  <si>
    <t>Scenario2</t>
  </si>
  <si>
    <t>Scenario3</t>
  </si>
  <si>
    <t>Scenario4</t>
  </si>
  <si>
    <t>Scenario5</t>
  </si>
  <si>
    <t>Scenario1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</si>
</sst>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$&quot;#,##0_);\(&quot;$&quot;#,##0\)"/>
    <numFmt numFmtId="164" formatCode="&quot;$&quot;#,##0;\-&quot;$&quot;#,##0"/>
    <numFmt numFmtId="165" formatCode="&quot;$&quot;#,##0.00"/>
  </numFmts>
  <fonts count="4" x14ac:knownFonts="1">
    <font>
      <sz val="10"/>
      <name val="Arial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Continuous"/>
    </xf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2" fillId="2" borderId="0" xfId="0" applyFont="1" applyFill="1"/>
    <xf numFmtId="0" fontId="2" fillId="0" borderId="0" xfId="0" quotePrefix="1" applyFont="1" applyAlignment="1">
      <alignment horizontal="right"/>
    </xf>
    <xf numFmtId="9" fontId="2" fillId="0" borderId="0" xfId="0" applyNumberFormat="1" applyFont="1"/>
    <xf numFmtId="0" fontId="1" fillId="0" borderId="0" xfId="0" applyFont="1" applyAlignment="1">
      <alignment horizontal="left"/>
    </xf>
    <xf numFmtId="5" fontId="2" fillId="3" borderId="0" xfId="0" applyNumberFormat="1" applyFont="1" applyFill="1"/>
    <xf numFmtId="164" fontId="2" fillId="0" borderId="0" xfId="0" applyNumberFormat="1" applyFont="1"/>
    <xf numFmtId="164" fontId="2" fillId="4" borderId="0" xfId="0" applyNumberFormat="1" applyFont="1" applyFill="1"/>
    <xf numFmtId="0" fontId="2" fillId="5" borderId="0" xfId="0" applyFont="1" applyFill="1"/>
    <xf numFmtId="165" fontId="2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098779134295227E-2"/>
          <c:y val="1.6313213703099506E-2"/>
          <c:w val="0.97225305216426194"/>
          <c:h val="0.9673735725938011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1616736"/>
        <c:axId val="231617296"/>
      </c:barChart>
      <c:catAx>
        <c:axId val="231616736"/>
        <c:scaling>
          <c:orientation val="minMax"/>
        </c:scaling>
        <c:delete val="0"/>
        <c:axPos val="b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617296"/>
        <c:crosses val="autoZero"/>
        <c:auto val="0"/>
        <c:lblAlgn val="ctr"/>
        <c:lblOffset val="100"/>
        <c:tickMarkSkip val="1"/>
        <c:noMultiLvlLbl val="0"/>
      </c:catAx>
      <c:valAx>
        <c:axId val="231617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6167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9556048834628175"/>
          <c:y val="0.49918433931484518"/>
          <c:w val="0"/>
          <c:h val="1.6313213703099509E-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Chart5"/>
  <sheetViews>
    <sheetView zoomScale="48" workbookViewId="0"/>
  </sheetViews>
  <pageMargins left="0.75" right="0.75" top="1" bottom="1" header="0.5" footer="0.5"/>
  <pageSetup orientation="landscape" horizontalDpi="300" verticalDpi="300" r:id="rId1"/>
  <headerFooter alignWithMargins="0">
    <oddHeader>&amp;A</oddHeader>
    <oddFooter>Page &amp;P</oddFooter>
  </headerFooter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400050</xdr:colOff>
      <xdr:row>0</xdr:row>
      <xdr:rowOff>180974</xdr:rowOff>
    </xdr:from>
    <xdr:to>
      <xdr:col>18</xdr:col>
      <xdr:colOff>323850</xdr:colOff>
      <xdr:row>20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256270" y="180974"/>
          <a:ext cx="4297680" cy="3644266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Objective Function: Minimize Total Cost</a:t>
          </a:r>
        </a:p>
        <a:p>
          <a:endParaRPr lang="en-US" sz="1100"/>
        </a:p>
        <a:p>
          <a:r>
            <a:rPr lang="en-US" sz="1100"/>
            <a:t>	Total Cost</a:t>
          </a:r>
          <a:r>
            <a:rPr lang="en-US" sz="1100" baseline="0"/>
            <a:t> = Sum of C</a:t>
          </a:r>
          <a:r>
            <a:rPr lang="en-US" sz="1100" baseline="-25000"/>
            <a:t>ij</a:t>
          </a:r>
          <a:r>
            <a:rPr lang="en-US" sz="1100" baseline="0"/>
            <a:t> * X</a:t>
          </a:r>
          <a:r>
            <a:rPr lang="en-US" sz="1100" baseline="-25000"/>
            <a:t>ij</a:t>
          </a:r>
        </a:p>
        <a:p>
          <a:endParaRPr lang="en-US" sz="1100"/>
        </a:p>
        <a:p>
          <a:r>
            <a:rPr lang="en-US" sz="1100"/>
            <a:t>Constraints:</a:t>
          </a:r>
        </a:p>
        <a:p>
          <a:endParaRPr lang="en-US" sz="1100"/>
        </a:p>
        <a:p>
          <a:r>
            <a:rPr lang="en-US" sz="1100"/>
            <a:t>X</a:t>
          </a:r>
          <a:r>
            <a:rPr lang="en-US" sz="1100" baseline="-25000"/>
            <a:t>11</a:t>
          </a:r>
          <a:r>
            <a:rPr lang="en-US" sz="1100"/>
            <a:t> + X</a:t>
          </a:r>
          <a:r>
            <a:rPr lang="en-US" sz="1100" baseline="-25000"/>
            <a:t>12</a:t>
          </a:r>
          <a:r>
            <a:rPr lang="en-US" sz="1100" baseline="0"/>
            <a:t> + X</a:t>
          </a:r>
          <a:r>
            <a:rPr lang="en-US" sz="1100" baseline="-25000"/>
            <a:t>13</a:t>
          </a:r>
          <a:r>
            <a:rPr lang="en-US" sz="1100" baseline="0"/>
            <a:t> + X</a:t>
          </a:r>
          <a:r>
            <a:rPr lang="en-US" sz="1100" baseline="-25000"/>
            <a:t>14</a:t>
          </a:r>
          <a:r>
            <a:rPr lang="en-US" sz="1100" baseline="0"/>
            <a:t> &lt;= Plant 1 Capacity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21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+ X</a:t>
          </a:r>
          <a:r>
            <a:rPr lang="en-US" sz="110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22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+ X</a:t>
          </a:r>
          <a:r>
            <a:rPr lang="en-US" sz="110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23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+ X</a:t>
          </a:r>
          <a:r>
            <a:rPr lang="en-US" sz="110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24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&lt;= Plant 2 Capacity</a:t>
          </a:r>
          <a:endParaRPr lang="en-US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31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+ X</a:t>
          </a:r>
          <a:r>
            <a:rPr lang="en-US" sz="110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32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+ X</a:t>
          </a:r>
          <a:r>
            <a:rPr lang="en-US" sz="110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33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+ X</a:t>
          </a:r>
          <a:r>
            <a:rPr lang="en-US" sz="110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34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&lt;= Plant 3 Capacity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11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+ X</a:t>
          </a:r>
          <a:r>
            <a:rPr lang="en-US" sz="110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21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+ X</a:t>
          </a:r>
          <a:r>
            <a:rPr lang="en-US" sz="110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31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&gt;= City 1 Demand</a:t>
          </a:r>
          <a:endParaRPr lang="en-US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+ X</a:t>
          </a:r>
          <a:r>
            <a:rPr lang="en-US" sz="110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22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+ X</a:t>
          </a:r>
          <a:r>
            <a:rPr lang="en-US" sz="110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32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&gt;= City 2 Demand</a:t>
          </a:r>
          <a:endParaRPr lang="en-US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13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+ X</a:t>
          </a:r>
          <a:r>
            <a:rPr lang="en-US" sz="110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23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+ X</a:t>
          </a:r>
          <a:r>
            <a:rPr lang="en-US" sz="110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33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&gt;= City 3 Demand</a:t>
          </a:r>
          <a:endParaRPr lang="en-US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14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+ X</a:t>
          </a:r>
          <a:r>
            <a:rPr lang="en-US" sz="110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24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+ X</a:t>
          </a:r>
          <a:r>
            <a:rPr lang="en-US" sz="110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34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&gt;= City 4 Demand</a:t>
          </a:r>
          <a:endParaRPr lang="en-US">
            <a:effectLst/>
          </a:endParaRPr>
        </a:p>
        <a:p>
          <a:endParaRPr lang="en-US" sz="1100"/>
        </a:p>
        <a:p>
          <a:r>
            <a:rPr lang="en-US" sz="1100"/>
            <a:t>X</a:t>
          </a:r>
          <a:r>
            <a:rPr lang="en-US" sz="1100" baseline="-25000"/>
            <a:t>ij</a:t>
          </a:r>
          <a:r>
            <a:rPr lang="en-US" sz="1100" baseline="0"/>
            <a:t> &gt;=0</a:t>
          </a:r>
        </a:p>
        <a:p>
          <a:endParaRPr lang="en-US" sz="1100" baseline="0"/>
        </a:p>
        <a:p>
          <a:r>
            <a:rPr lang="en-US" sz="1100" baseline="0"/>
            <a:t>where:</a:t>
          </a:r>
        </a:p>
        <a:p>
          <a:r>
            <a:rPr lang="en-US" sz="1100" baseline="0"/>
            <a:t>C</a:t>
          </a:r>
          <a:r>
            <a:rPr lang="en-US" sz="1100" baseline="-25000"/>
            <a:t>ij</a:t>
          </a:r>
          <a:r>
            <a:rPr lang="en-US" sz="1100" baseline="0"/>
            <a:t> = Shipping Cost  per Unit from Plant i to City j</a:t>
          </a:r>
        </a:p>
        <a:p>
          <a:r>
            <a:rPr lang="en-US" sz="1100" baseline="0"/>
            <a:t>X</a:t>
          </a:r>
          <a:r>
            <a:rPr lang="en-US" sz="1100" baseline="-25000"/>
            <a:t>ij</a:t>
          </a:r>
          <a:r>
            <a:rPr lang="en-US" sz="1100" baseline="0"/>
            <a:t> = Number of units shipped from Plant i to City j</a:t>
          </a:r>
        </a:p>
        <a:p>
          <a:endParaRPr lang="en-US" sz="1100" baseline="0"/>
        </a:p>
        <a:p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twoCellAnchor>
  <xdr:twoCellAnchor>
    <xdr:from>
      <xdr:col>0</xdr:col>
      <xdr:colOff>409575</xdr:colOff>
      <xdr:row>24</xdr:row>
      <xdr:rowOff>85726</xdr:rowOff>
    </xdr:from>
    <xdr:to>
      <xdr:col>4</xdr:col>
      <xdr:colOff>104775</xdr:colOff>
      <xdr:row>26</xdr:row>
      <xdr:rowOff>180976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09575" y="4657726"/>
          <a:ext cx="2714625" cy="476250"/>
        </a:xfrm>
        <a:prstGeom prst="rect">
          <a:avLst/>
        </a:prstGeom>
        <a:solidFill>
          <a:srgbClr val="00B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Decision variables (changing values) are in green</a:t>
          </a:r>
        </a:p>
      </xdr:txBody>
    </xdr:sp>
    <xdr:clientData/>
  </xdr:twoCellAnchor>
  <xdr:twoCellAnchor>
    <xdr:from>
      <xdr:col>0</xdr:col>
      <xdr:colOff>409575</xdr:colOff>
      <xdr:row>27</xdr:row>
      <xdr:rowOff>57150</xdr:rowOff>
    </xdr:from>
    <xdr:to>
      <xdr:col>4</xdr:col>
      <xdr:colOff>104775</xdr:colOff>
      <xdr:row>29</xdr:row>
      <xdr:rowOff>152400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409575" y="5200650"/>
          <a:ext cx="2714625" cy="47625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Righ-hand</a:t>
          </a:r>
          <a:r>
            <a:rPr lang="en-US" sz="1100" baseline="0"/>
            <a:t> side of constraints (alternative scenario values) are in light blue</a:t>
          </a:r>
          <a:endParaRPr lang="en-US" sz="1100"/>
        </a:p>
      </xdr:txBody>
    </xdr:sp>
    <xdr:clientData/>
  </xdr:twoCellAnchor>
  <xdr:twoCellAnchor>
    <xdr:from>
      <xdr:col>0</xdr:col>
      <xdr:colOff>409575</xdr:colOff>
      <xdr:row>21</xdr:row>
      <xdr:rowOff>123825</xdr:rowOff>
    </xdr:from>
    <xdr:to>
      <xdr:col>4</xdr:col>
      <xdr:colOff>104775</xdr:colOff>
      <xdr:row>24</xdr:row>
      <xdr:rowOff>28575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09575" y="4124325"/>
          <a:ext cx="2714625" cy="476250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Objective function equation is in gray.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586740</xdr:colOff>
          <xdr:row>17</xdr:row>
          <xdr:rowOff>167640</xdr:rowOff>
        </xdr:from>
        <xdr:to>
          <xdr:col>9</xdr:col>
          <xdr:colOff>350520</xdr:colOff>
          <xdr:row>20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373380</xdr:colOff>
          <xdr:row>6</xdr:row>
          <xdr:rowOff>121920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592344" cy="58539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0.291</cdr:x>
      <cdr:y>0.30475</cdr:y>
    </cdr:from>
    <cdr:to>
      <cdr:x>0.3395</cdr:x>
      <cdr:y>0.37625</cdr:y>
    </cdr:to>
    <cdr:sp macro="" textlink="">
      <cdr:nvSpPr>
        <cdr:cNvPr id="1025" name="Oval 1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97369" y="1779382"/>
          <a:ext cx="416228" cy="417476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0.291</cdr:x>
      <cdr:y>0.4575</cdr:y>
    </cdr:from>
    <cdr:to>
      <cdr:x>0.3395</cdr:x>
      <cdr:y>0.52925</cdr:y>
    </cdr:to>
    <cdr:sp macro="" textlink="">
      <cdr:nvSpPr>
        <cdr:cNvPr id="1026" name="Oval 2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97369" y="2671262"/>
          <a:ext cx="416228" cy="418936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0.291</cdr:x>
      <cdr:y>0.62</cdr:y>
    </cdr:from>
    <cdr:to>
      <cdr:x>0.3395</cdr:x>
      <cdr:y>0.69175</cdr:y>
    </cdr:to>
    <cdr:sp macro="" textlink="">
      <cdr:nvSpPr>
        <cdr:cNvPr id="1027" name="Oval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97369" y="3620072"/>
          <a:ext cx="416228" cy="41893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0.62925</cdr:x>
      <cdr:y>0.206</cdr:y>
    </cdr:from>
    <cdr:to>
      <cdr:x>0.678</cdr:x>
      <cdr:y>0.27775</cdr:y>
    </cdr:to>
    <cdr:sp macro="" textlink="">
      <cdr:nvSpPr>
        <cdr:cNvPr id="1028" name="Oval 4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00239" y="1202798"/>
          <a:ext cx="418374" cy="418936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0.62925</cdr:x>
      <cdr:y>0.356</cdr:y>
    </cdr:from>
    <cdr:to>
      <cdr:x>0.678</cdr:x>
      <cdr:y>0.4275</cdr:y>
    </cdr:to>
    <cdr:sp macro="" textlink="">
      <cdr:nvSpPr>
        <cdr:cNvPr id="1029" name="Oval 5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00239" y="2078622"/>
          <a:ext cx="418374" cy="417476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0.62925</cdr:x>
      <cdr:y>0.54275</cdr:y>
    </cdr:from>
    <cdr:to>
      <cdr:x>0.678</cdr:x>
      <cdr:y>0.61425</cdr:y>
    </cdr:to>
    <cdr:sp macro="" textlink="">
      <cdr:nvSpPr>
        <cdr:cNvPr id="1030" name="Oval 6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00239" y="3169022"/>
          <a:ext cx="418374" cy="417476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0.62925</cdr:x>
      <cdr:y>0.712</cdr:y>
    </cdr:from>
    <cdr:to>
      <cdr:x>0.678</cdr:x>
      <cdr:y>0.7835</cdr:y>
    </cdr:to>
    <cdr:sp macro="" textlink="">
      <cdr:nvSpPr>
        <cdr:cNvPr id="1031" name="Oval 7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00239" y="4157243"/>
          <a:ext cx="418374" cy="417476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</cdr:sp>
  </cdr:relSizeAnchor>
  <cdr:relSizeAnchor xmlns:cdr="http://schemas.openxmlformats.org/drawingml/2006/chartDrawing">
    <cdr:from>
      <cdr:x>0.30275</cdr:x>
      <cdr:y>0.475</cdr:y>
    </cdr:from>
    <cdr:to>
      <cdr:x>0.33275</cdr:x>
      <cdr:y>0.519</cdr:y>
    </cdr:to>
    <cdr:sp macro="" textlink="">
      <cdr:nvSpPr>
        <cdr:cNvPr id="1032" name="Text 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98208" y="2773442"/>
          <a:ext cx="257461" cy="2569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2</a:t>
          </a:r>
        </a:p>
      </cdr:txBody>
    </cdr:sp>
  </cdr:relSizeAnchor>
  <cdr:relSizeAnchor xmlns:cdr="http://schemas.openxmlformats.org/drawingml/2006/chartDrawing">
    <cdr:from>
      <cdr:x>0.30275</cdr:x>
      <cdr:y>0.32225</cdr:y>
    </cdr:from>
    <cdr:to>
      <cdr:x>0.33275</cdr:x>
      <cdr:y>0.36625</cdr:y>
    </cdr:to>
    <cdr:sp macro="" textlink="">
      <cdr:nvSpPr>
        <cdr:cNvPr id="1033" name="Text 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98208" y="1881561"/>
          <a:ext cx="257461" cy="2569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1</a:t>
          </a:r>
        </a:p>
      </cdr:txBody>
    </cdr:sp>
  </cdr:relSizeAnchor>
  <cdr:relSizeAnchor xmlns:cdr="http://schemas.openxmlformats.org/drawingml/2006/chartDrawing">
    <cdr:from>
      <cdr:x>0.30275</cdr:x>
      <cdr:y>0.6375</cdr:y>
    </cdr:from>
    <cdr:to>
      <cdr:x>0.33275</cdr:x>
      <cdr:y>0.6815</cdr:y>
    </cdr:to>
    <cdr:sp macro="" textlink="">
      <cdr:nvSpPr>
        <cdr:cNvPr id="1034" name="Text 1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98208" y="3722251"/>
          <a:ext cx="257461" cy="2569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3</a:t>
          </a:r>
        </a:p>
      </cdr:txBody>
    </cdr:sp>
  </cdr:relSizeAnchor>
  <cdr:relSizeAnchor xmlns:cdr="http://schemas.openxmlformats.org/drawingml/2006/chartDrawing">
    <cdr:from>
      <cdr:x>0.641</cdr:x>
      <cdr:y>0.7255</cdr:y>
    </cdr:from>
    <cdr:to>
      <cdr:x>0.671</cdr:x>
      <cdr:y>0.7695</cdr:y>
    </cdr:to>
    <cdr:sp macro="" textlink="">
      <cdr:nvSpPr>
        <cdr:cNvPr id="1035" name="Text 1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01078" y="4236068"/>
          <a:ext cx="257461" cy="2569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4</a:t>
          </a:r>
        </a:p>
      </cdr:txBody>
    </cdr:sp>
  </cdr:relSizeAnchor>
  <cdr:relSizeAnchor xmlns:cdr="http://schemas.openxmlformats.org/drawingml/2006/chartDrawing">
    <cdr:from>
      <cdr:x>0.641</cdr:x>
      <cdr:y>0.55625</cdr:y>
    </cdr:from>
    <cdr:to>
      <cdr:x>0.671</cdr:x>
      <cdr:y>0.60025</cdr:y>
    </cdr:to>
    <cdr:sp macro="" textlink="">
      <cdr:nvSpPr>
        <cdr:cNvPr id="1036" name="Text 1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01078" y="3247846"/>
          <a:ext cx="257461" cy="2569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3</a:t>
          </a:r>
        </a:p>
      </cdr:txBody>
    </cdr:sp>
  </cdr:relSizeAnchor>
  <cdr:relSizeAnchor xmlns:cdr="http://schemas.openxmlformats.org/drawingml/2006/chartDrawing">
    <cdr:from>
      <cdr:x>0.641</cdr:x>
      <cdr:y>0.3735</cdr:y>
    </cdr:from>
    <cdr:to>
      <cdr:x>0.671</cdr:x>
      <cdr:y>0.4175</cdr:y>
    </cdr:to>
    <cdr:sp macro="" textlink="">
      <cdr:nvSpPr>
        <cdr:cNvPr id="1037" name="Text 1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01078" y="2180801"/>
          <a:ext cx="257461" cy="2569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2</a:t>
          </a:r>
        </a:p>
      </cdr:txBody>
    </cdr:sp>
  </cdr:relSizeAnchor>
  <cdr:relSizeAnchor xmlns:cdr="http://schemas.openxmlformats.org/drawingml/2006/chartDrawing">
    <cdr:from>
      <cdr:x>0.641</cdr:x>
      <cdr:y>0.2235</cdr:y>
    </cdr:from>
    <cdr:to>
      <cdr:x>0.671</cdr:x>
      <cdr:y>0.2675</cdr:y>
    </cdr:to>
    <cdr:sp macro="" textlink="">
      <cdr:nvSpPr>
        <cdr:cNvPr id="1038" name="Text 1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01078" y="1304977"/>
          <a:ext cx="257461" cy="2569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1</a:t>
          </a:r>
        </a:p>
      </cdr:txBody>
    </cdr:sp>
  </cdr:relSizeAnchor>
  <cdr:relSizeAnchor xmlns:cdr="http://schemas.openxmlformats.org/drawingml/2006/chartDrawing">
    <cdr:from>
      <cdr:x>0.59425</cdr:x>
      <cdr:y>0.08425</cdr:y>
    </cdr:from>
    <cdr:to>
      <cdr:x>0.70075</cdr:x>
      <cdr:y>0.138</cdr:y>
    </cdr:to>
    <cdr:sp macro="" textlink="">
      <cdr:nvSpPr>
        <cdr:cNvPr id="1039" name="Text 1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99868" y="491921"/>
          <a:ext cx="913986" cy="3138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Cities</a:t>
          </a:r>
        </a:p>
      </cdr:txBody>
    </cdr:sp>
  </cdr:relSizeAnchor>
  <cdr:relSizeAnchor xmlns:cdr="http://schemas.openxmlformats.org/drawingml/2006/chartDrawing">
    <cdr:from>
      <cdr:x>0.75275</cdr:x>
      <cdr:y>0.08425</cdr:y>
    </cdr:from>
    <cdr:to>
      <cdr:x>0.85925</cdr:x>
      <cdr:y>0.138</cdr:y>
    </cdr:to>
    <cdr:sp macro="" textlink="">
      <cdr:nvSpPr>
        <cdr:cNvPr id="1040" name="Text 1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460119" y="491921"/>
          <a:ext cx="913986" cy="3138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Demands</a:t>
          </a:r>
        </a:p>
      </cdr:txBody>
    </cdr:sp>
  </cdr:relSizeAnchor>
  <cdr:relSizeAnchor xmlns:cdr="http://schemas.openxmlformats.org/drawingml/2006/chartDrawing">
    <cdr:from>
      <cdr:x>0.3395</cdr:x>
      <cdr:y>0.33575</cdr:y>
    </cdr:from>
    <cdr:to>
      <cdr:x>0.6275</cdr:x>
      <cdr:y>0.386</cdr:y>
    </cdr:to>
    <cdr:sp macro="" textlink="">
      <cdr:nvSpPr>
        <cdr:cNvPr id="1041" name="Line 17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913597" y="1960385"/>
          <a:ext cx="2471624" cy="293401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  <cdr:relSizeAnchor xmlns:cdr="http://schemas.openxmlformats.org/drawingml/2006/chartDrawing">
    <cdr:from>
      <cdr:x>0.3395</cdr:x>
      <cdr:y>0.35225</cdr:y>
    </cdr:from>
    <cdr:to>
      <cdr:x>0.62925</cdr:x>
      <cdr:y>0.563</cdr:y>
    </cdr:to>
    <cdr:sp macro="" textlink="">
      <cdr:nvSpPr>
        <cdr:cNvPr id="1042" name="Line 18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913597" y="2056726"/>
          <a:ext cx="2486642" cy="123053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  <cdr:relSizeAnchor xmlns:cdr="http://schemas.openxmlformats.org/drawingml/2006/chartDrawing">
    <cdr:from>
      <cdr:x>0.3415</cdr:x>
      <cdr:y>0.26125</cdr:y>
    </cdr:from>
    <cdr:to>
      <cdr:x>0.63125</cdr:x>
      <cdr:y>0.4885</cdr:y>
    </cdr:to>
    <cdr:sp macro="" textlink="">
      <cdr:nvSpPr>
        <cdr:cNvPr id="1043" name="Line 19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2930762" y="1525393"/>
          <a:ext cx="2486641" cy="1326873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  <cdr:relSizeAnchor xmlns:cdr="http://schemas.openxmlformats.org/drawingml/2006/chartDrawing">
    <cdr:from>
      <cdr:x>0.3395</cdr:x>
      <cdr:y>0.505</cdr:y>
    </cdr:from>
    <cdr:to>
      <cdr:x>0.6275</cdr:x>
      <cdr:y>0.5795</cdr:y>
    </cdr:to>
    <cdr:sp macro="" textlink="">
      <cdr:nvSpPr>
        <cdr:cNvPr id="1044" name="Line 20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913597" y="2948607"/>
          <a:ext cx="2471624" cy="43499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  <cdr:relSizeAnchor xmlns:cdr="http://schemas.openxmlformats.org/drawingml/2006/chartDrawing">
    <cdr:from>
      <cdr:x>0.3395</cdr:x>
      <cdr:y>0.41025</cdr:y>
    </cdr:from>
    <cdr:to>
      <cdr:x>0.62925</cdr:x>
      <cdr:y>0.648</cdr:y>
    </cdr:to>
    <cdr:sp macro="" textlink="">
      <cdr:nvSpPr>
        <cdr:cNvPr id="1045" name="Line 2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2913597" y="2395378"/>
          <a:ext cx="2486642" cy="1388181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  <cdr:relSizeAnchor xmlns:cdr="http://schemas.openxmlformats.org/drawingml/2006/chartDrawing">
    <cdr:from>
      <cdr:x>0.3395</cdr:x>
      <cdr:y>0.6685</cdr:y>
    </cdr:from>
    <cdr:to>
      <cdr:x>0.62925</cdr:x>
      <cdr:y>0.74575</cdr:y>
    </cdr:to>
    <cdr:sp macro="" textlink="">
      <cdr:nvSpPr>
        <cdr:cNvPr id="1046" name="Line 2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913597" y="3903255"/>
          <a:ext cx="2486642" cy="451049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 type="triangle" w="med" len="med"/>
        </a:ln>
      </cdr:spPr>
    </cdr:sp>
  </cdr:relSizeAnchor>
  <cdr:relSizeAnchor xmlns:cdr="http://schemas.openxmlformats.org/drawingml/2006/chartDrawing">
    <cdr:from>
      <cdr:x>0.12075</cdr:x>
      <cdr:y>0.3155</cdr:y>
    </cdr:from>
    <cdr:to>
      <cdr:x>0.18075</cdr:x>
      <cdr:y>0.36275</cdr:y>
    </cdr:to>
    <cdr:sp macro="" textlink="">
      <cdr:nvSpPr>
        <cdr:cNvPr id="1047" name="Text 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36280" y="1842149"/>
          <a:ext cx="514921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35</a:t>
          </a:r>
        </a:p>
      </cdr:txBody>
    </cdr:sp>
  </cdr:relSizeAnchor>
  <cdr:relSizeAnchor xmlns:cdr="http://schemas.openxmlformats.org/drawingml/2006/chartDrawing">
    <cdr:from>
      <cdr:x>0.12075</cdr:x>
      <cdr:y>0.475</cdr:y>
    </cdr:from>
    <cdr:to>
      <cdr:x>0.18075</cdr:x>
      <cdr:y>0.52225</cdr:y>
    </cdr:to>
    <cdr:sp macro="" textlink="">
      <cdr:nvSpPr>
        <cdr:cNvPr id="1048" name="Text 2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36280" y="2773442"/>
          <a:ext cx="514921" cy="2758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50</a:t>
          </a:r>
        </a:p>
      </cdr:txBody>
    </cdr:sp>
  </cdr:relSizeAnchor>
  <cdr:relSizeAnchor xmlns:cdr="http://schemas.openxmlformats.org/drawingml/2006/chartDrawing">
    <cdr:from>
      <cdr:x>0.12075</cdr:x>
      <cdr:y>0.6405</cdr:y>
    </cdr:from>
    <cdr:to>
      <cdr:x>0.18075</cdr:x>
      <cdr:y>0.68775</cdr:y>
    </cdr:to>
    <cdr:sp macro="" textlink="">
      <cdr:nvSpPr>
        <cdr:cNvPr id="1049" name="Text 2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36280" y="3739767"/>
          <a:ext cx="514921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40</a:t>
          </a:r>
        </a:p>
      </cdr:txBody>
    </cdr:sp>
  </cdr:relSizeAnchor>
  <cdr:relSizeAnchor xmlns:cdr="http://schemas.openxmlformats.org/drawingml/2006/chartDrawing">
    <cdr:from>
      <cdr:x>0.46125</cdr:x>
      <cdr:y>0.65775</cdr:y>
    </cdr:from>
    <cdr:to>
      <cdr:x>0.52125</cdr:x>
      <cdr:y>0.705</cdr:y>
    </cdr:to>
    <cdr:sp macro="" textlink="">
      <cdr:nvSpPr>
        <cdr:cNvPr id="1050" name="Text 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958459" y="3840487"/>
          <a:ext cx="514922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30</a:t>
          </a:r>
        </a:p>
      </cdr:txBody>
    </cdr:sp>
  </cdr:relSizeAnchor>
  <cdr:relSizeAnchor xmlns:cdr="http://schemas.openxmlformats.org/drawingml/2006/chartDrawing">
    <cdr:from>
      <cdr:x>0.35325</cdr:x>
      <cdr:y>0.55625</cdr:y>
    </cdr:from>
    <cdr:to>
      <cdr:x>0.41325</cdr:x>
      <cdr:y>0.6035</cdr:y>
    </cdr:to>
    <cdr:sp macro="" textlink="">
      <cdr:nvSpPr>
        <cdr:cNvPr id="1051" name="Text 3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31600" y="3247846"/>
          <a:ext cx="514922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10</a:t>
          </a:r>
        </a:p>
      </cdr:txBody>
    </cdr:sp>
  </cdr:relSizeAnchor>
  <cdr:relSizeAnchor xmlns:cdr="http://schemas.openxmlformats.org/drawingml/2006/chartDrawing">
    <cdr:from>
      <cdr:x>0.397</cdr:x>
      <cdr:y>0.478</cdr:y>
    </cdr:from>
    <cdr:to>
      <cdr:x>0.457</cdr:x>
      <cdr:y>0.52525</cdr:y>
    </cdr:to>
    <cdr:sp macro="" textlink="">
      <cdr:nvSpPr>
        <cdr:cNvPr id="1052" name="Text 3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07064" y="2790958"/>
          <a:ext cx="514921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5</a:t>
          </a:r>
        </a:p>
      </cdr:txBody>
    </cdr:sp>
  </cdr:relSizeAnchor>
  <cdr:relSizeAnchor xmlns:cdr="http://schemas.openxmlformats.org/drawingml/2006/chartDrawing">
    <cdr:from>
      <cdr:x>0.3465</cdr:x>
      <cdr:y>0.40625</cdr:y>
    </cdr:from>
    <cdr:to>
      <cdr:x>0.4065</cdr:x>
      <cdr:y>0.4535</cdr:y>
    </cdr:to>
    <cdr:sp macro="" textlink="">
      <cdr:nvSpPr>
        <cdr:cNvPr id="1053" name="Text 3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973672" y="2372023"/>
          <a:ext cx="514921" cy="2758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45</a:t>
          </a:r>
        </a:p>
      </cdr:txBody>
    </cdr:sp>
  </cdr:relSizeAnchor>
  <cdr:relSizeAnchor xmlns:cdr="http://schemas.openxmlformats.org/drawingml/2006/chartDrawing">
    <cdr:from>
      <cdr:x>0.38525</cdr:x>
      <cdr:y>0.298</cdr:y>
    </cdr:from>
    <cdr:to>
      <cdr:x>0.44525</cdr:x>
      <cdr:y>0.34525</cdr:y>
    </cdr:to>
    <cdr:sp macro="" textlink="">
      <cdr:nvSpPr>
        <cdr:cNvPr id="1054" name="Text 3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306225" y="1739970"/>
          <a:ext cx="514922" cy="2758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10</a:t>
          </a:r>
        </a:p>
      </cdr:txBody>
    </cdr:sp>
  </cdr:relSizeAnchor>
  <cdr:relSizeAnchor xmlns:cdr="http://schemas.openxmlformats.org/drawingml/2006/chartDrawing">
    <cdr:from>
      <cdr:x>0.469</cdr:x>
      <cdr:y>0.413</cdr:y>
    </cdr:from>
    <cdr:to>
      <cdr:x>0.529</cdr:x>
      <cdr:y>0.46025</cdr:y>
    </cdr:to>
    <cdr:sp macro="" textlink="">
      <cdr:nvSpPr>
        <cdr:cNvPr id="1055" name="Text 3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24970" y="2411435"/>
          <a:ext cx="514921" cy="2758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25</a:t>
          </a:r>
        </a:p>
      </cdr:txBody>
    </cdr:sp>
  </cdr:relSizeAnchor>
  <cdr:relSizeAnchor xmlns:cdr="http://schemas.openxmlformats.org/drawingml/2006/chartDrawing">
    <cdr:from>
      <cdr:x>0.77425</cdr:x>
      <cdr:y>0.71875</cdr:y>
    </cdr:from>
    <cdr:to>
      <cdr:x>0.83425</cdr:x>
      <cdr:y>0.766</cdr:y>
    </cdr:to>
    <cdr:sp macro="" textlink="">
      <cdr:nvSpPr>
        <cdr:cNvPr id="1056" name="Text 3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44633" y="4196655"/>
          <a:ext cx="514921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30</a:t>
          </a:r>
        </a:p>
      </cdr:txBody>
    </cdr:sp>
  </cdr:relSizeAnchor>
  <cdr:relSizeAnchor xmlns:cdr="http://schemas.openxmlformats.org/drawingml/2006/chartDrawing">
    <cdr:from>
      <cdr:x>0.77425</cdr:x>
      <cdr:y>0.55225</cdr:y>
    </cdr:from>
    <cdr:to>
      <cdr:x>0.83425</cdr:x>
      <cdr:y>0.5995</cdr:y>
    </cdr:to>
    <cdr:sp macro="" textlink="">
      <cdr:nvSpPr>
        <cdr:cNvPr id="1057" name="Text 3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44633" y="3224491"/>
          <a:ext cx="514921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30</a:t>
          </a:r>
        </a:p>
      </cdr:txBody>
    </cdr:sp>
  </cdr:relSizeAnchor>
  <cdr:relSizeAnchor xmlns:cdr="http://schemas.openxmlformats.org/drawingml/2006/chartDrawing">
    <cdr:from>
      <cdr:x>0.77425</cdr:x>
      <cdr:y>0.36575</cdr:y>
    </cdr:from>
    <cdr:to>
      <cdr:x>0.83425</cdr:x>
      <cdr:y>0.413</cdr:y>
    </cdr:to>
    <cdr:sp macro="" textlink="">
      <cdr:nvSpPr>
        <cdr:cNvPr id="1058" name="Text 3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44633" y="2135550"/>
          <a:ext cx="514921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20</a:t>
          </a:r>
        </a:p>
      </cdr:txBody>
    </cdr:sp>
  </cdr:relSizeAnchor>
  <cdr:relSizeAnchor xmlns:cdr="http://schemas.openxmlformats.org/drawingml/2006/chartDrawing">
    <cdr:from>
      <cdr:x>0.77425</cdr:x>
      <cdr:y>0.21</cdr:y>
    </cdr:from>
    <cdr:to>
      <cdr:x>0.83425</cdr:x>
      <cdr:y>0.25725</cdr:y>
    </cdr:to>
    <cdr:sp macro="" textlink="">
      <cdr:nvSpPr>
        <cdr:cNvPr id="1059" name="Text 3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44633" y="1226153"/>
          <a:ext cx="514921" cy="2758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45</a:t>
          </a:r>
        </a:p>
      </cdr:txBody>
    </cdr:sp>
  </cdr:relSizeAnchor>
  <cdr:relSizeAnchor xmlns:cdr="http://schemas.openxmlformats.org/drawingml/2006/chartDrawing">
    <cdr:from>
      <cdr:x>0.2755</cdr:x>
      <cdr:y>0.08425</cdr:y>
    </cdr:from>
    <cdr:to>
      <cdr:x>0.382</cdr:x>
      <cdr:y>0.138</cdr:y>
    </cdr:to>
    <cdr:sp macro="" textlink="">
      <cdr:nvSpPr>
        <cdr:cNvPr id="1060" name="Text 3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64348" y="491921"/>
          <a:ext cx="913986" cy="3138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Plants</a:t>
          </a:r>
        </a:p>
      </cdr:txBody>
    </cdr:sp>
  </cdr:relSizeAnchor>
  <cdr:relSizeAnchor xmlns:cdr="http://schemas.openxmlformats.org/drawingml/2006/chartDrawing">
    <cdr:from>
      <cdr:x>0.10525</cdr:x>
      <cdr:y>0.08425</cdr:y>
    </cdr:from>
    <cdr:to>
      <cdr:x>0.21175</cdr:x>
      <cdr:y>0.138</cdr:y>
    </cdr:to>
    <cdr:sp macro="" textlink="">
      <cdr:nvSpPr>
        <cdr:cNvPr id="1061" name="Text 4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03258" y="491921"/>
          <a:ext cx="913986" cy="3138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400" b="0" i="0" strike="noStrike">
              <a:solidFill>
                <a:srgbClr val="000000"/>
              </a:solidFill>
              <a:latin typeface="Arial"/>
              <a:cs typeface="Arial"/>
            </a:rPr>
            <a:t>Supplies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20"/>
  <sheetViews>
    <sheetView tabSelected="1" workbookViewId="0">
      <selection activeCell="G24" sqref="G24"/>
    </sheetView>
  </sheetViews>
  <sheetFormatPr defaultColWidth="9.109375" defaultRowHeight="14.4" x14ac:dyDescent="0.3"/>
  <cols>
    <col min="1" max="1" width="12.5546875" style="2" customWidth="1"/>
    <col min="2" max="2" width="14.44140625" style="2" customWidth="1"/>
    <col min="3" max="6" width="9.109375" style="2"/>
    <col min="7" max="7" width="12.5546875" style="2" customWidth="1"/>
    <col min="8" max="8" width="7.6640625" style="2" customWidth="1"/>
    <col min="9" max="9" width="12.6640625" style="2" customWidth="1"/>
    <col min="10" max="16384" width="9.109375" style="2"/>
  </cols>
  <sheetData>
    <row r="1" spans="1:11" x14ac:dyDescent="0.3">
      <c r="A1" s="1" t="s">
        <v>27</v>
      </c>
      <c r="I1" s="1" t="s">
        <v>28</v>
      </c>
    </row>
    <row r="2" spans="1:11" x14ac:dyDescent="0.3">
      <c r="I2" s="2" t="s">
        <v>18</v>
      </c>
      <c r="J2" s="2" t="s">
        <v>29</v>
      </c>
    </row>
    <row r="3" spans="1:11" x14ac:dyDescent="0.3">
      <c r="A3" s="1" t="s">
        <v>0</v>
      </c>
      <c r="I3" s="2" t="s">
        <v>19</v>
      </c>
      <c r="J3" s="2" t="s">
        <v>30</v>
      </c>
    </row>
    <row r="4" spans="1:11" x14ac:dyDescent="0.3">
      <c r="C4" s="3" t="s">
        <v>1</v>
      </c>
      <c r="D4" s="4"/>
      <c r="E4" s="4"/>
      <c r="F4" s="4"/>
      <c r="I4" s="2" t="s">
        <v>31</v>
      </c>
      <c r="J4" s="2" t="s">
        <v>32</v>
      </c>
    </row>
    <row r="5" spans="1:11" x14ac:dyDescent="0.3">
      <c r="C5" s="5" t="s">
        <v>2</v>
      </c>
      <c r="D5" s="5" t="s">
        <v>3</v>
      </c>
      <c r="E5" s="5" t="s">
        <v>4</v>
      </c>
      <c r="F5" s="5" t="s">
        <v>5</v>
      </c>
      <c r="I5" s="2" t="s">
        <v>33</v>
      </c>
      <c r="J5" s="2" t="s">
        <v>34</v>
      </c>
    </row>
    <row r="6" spans="1:11" x14ac:dyDescent="0.3">
      <c r="A6" s="2" t="s">
        <v>7</v>
      </c>
      <c r="B6" s="2" t="s">
        <v>6</v>
      </c>
      <c r="C6" s="13">
        <v>8</v>
      </c>
      <c r="D6" s="13">
        <v>6</v>
      </c>
      <c r="E6" s="13">
        <v>10</v>
      </c>
      <c r="F6" s="13">
        <v>9</v>
      </c>
      <c r="I6" s="2" t="s">
        <v>35</v>
      </c>
      <c r="J6" s="2" t="s">
        <v>36</v>
      </c>
    </row>
    <row r="7" spans="1:11" x14ac:dyDescent="0.3">
      <c r="B7" s="2" t="s">
        <v>8</v>
      </c>
      <c r="C7" s="13">
        <v>9</v>
      </c>
      <c r="D7" s="13">
        <v>12</v>
      </c>
      <c r="E7" s="13">
        <v>13</v>
      </c>
      <c r="F7" s="13">
        <v>7</v>
      </c>
      <c r="I7" s="2" t="s">
        <v>37</v>
      </c>
      <c r="J7" s="2" t="s">
        <v>38</v>
      </c>
    </row>
    <row r="8" spans="1:11" x14ac:dyDescent="0.3">
      <c r="B8" s="2" t="s">
        <v>9</v>
      </c>
      <c r="C8" s="13">
        <v>14</v>
      </c>
      <c r="D8" s="13">
        <v>9</v>
      </c>
      <c r="E8" s="13">
        <v>16</v>
      </c>
      <c r="F8" s="13">
        <v>5</v>
      </c>
      <c r="I8" s="2" t="s">
        <v>39</v>
      </c>
      <c r="J8" s="2" t="s">
        <v>40</v>
      </c>
    </row>
    <row r="10" spans="1:11" x14ac:dyDescent="0.3">
      <c r="A10" s="1" t="s">
        <v>11</v>
      </c>
    </row>
    <row r="11" spans="1:11" x14ac:dyDescent="0.3">
      <c r="C11" s="3" t="s">
        <v>1</v>
      </c>
      <c r="D11" s="4"/>
      <c r="E11" s="4"/>
      <c r="F11" s="4"/>
    </row>
    <row r="12" spans="1:11" x14ac:dyDescent="0.3">
      <c r="C12" s="5" t="s">
        <v>2</v>
      </c>
      <c r="D12" s="5" t="s">
        <v>3</v>
      </c>
      <c r="E12" s="5" t="s">
        <v>4</v>
      </c>
      <c r="F12" s="5" t="s">
        <v>5</v>
      </c>
      <c r="G12" s="5" t="s">
        <v>12</v>
      </c>
      <c r="H12" s="5"/>
      <c r="I12" s="5" t="s">
        <v>16</v>
      </c>
      <c r="K12" s="5"/>
    </row>
    <row r="13" spans="1:11" x14ac:dyDescent="0.3">
      <c r="A13" s="2" t="s">
        <v>7</v>
      </c>
      <c r="B13" s="2" t="s">
        <v>6</v>
      </c>
      <c r="C13" s="14">
        <v>0</v>
      </c>
      <c r="D13" s="14">
        <v>0</v>
      </c>
      <c r="E13" s="14">
        <v>10</v>
      </c>
      <c r="F13" s="14">
        <v>60</v>
      </c>
      <c r="G13" s="2">
        <f>SUM(C13:F13)</f>
        <v>70</v>
      </c>
      <c r="H13" s="6" t="s">
        <v>13</v>
      </c>
      <c r="I13" s="7">
        <v>70</v>
      </c>
    </row>
    <row r="14" spans="1:11" x14ac:dyDescent="0.3">
      <c r="B14" s="2" t="s">
        <v>8</v>
      </c>
      <c r="C14" s="14">
        <v>0</v>
      </c>
      <c r="D14" s="14">
        <v>45</v>
      </c>
      <c r="E14" s="14">
        <v>30</v>
      </c>
      <c r="F14" s="14">
        <v>0</v>
      </c>
      <c r="G14" s="2">
        <f>SUM(C14:F14)</f>
        <v>75</v>
      </c>
      <c r="H14" s="6" t="s">
        <v>13</v>
      </c>
      <c r="I14" s="7">
        <v>75</v>
      </c>
    </row>
    <row r="15" spans="1:11" x14ac:dyDescent="0.3">
      <c r="B15" s="2" t="s">
        <v>9</v>
      </c>
      <c r="C15" s="14">
        <v>30</v>
      </c>
      <c r="D15" s="14">
        <v>10</v>
      </c>
      <c r="E15" s="14">
        <v>0</v>
      </c>
      <c r="F15" s="14">
        <v>0</v>
      </c>
      <c r="G15" s="2">
        <f>SUM(C15:F15)</f>
        <v>40</v>
      </c>
      <c r="H15" s="6" t="s">
        <v>13</v>
      </c>
      <c r="I15" s="7">
        <v>45</v>
      </c>
    </row>
    <row r="16" spans="1:11" x14ac:dyDescent="0.3">
      <c r="B16" s="2" t="s">
        <v>14</v>
      </c>
      <c r="C16" s="2">
        <f>SUM(C13:C15)</f>
        <v>30</v>
      </c>
      <c r="D16" s="2">
        <f>SUM(D13:D15)</f>
        <v>55</v>
      </c>
      <c r="E16" s="2">
        <f>SUM(E13:E15)</f>
        <v>40</v>
      </c>
      <c r="F16" s="2">
        <f>SUM(F13:F15)</f>
        <v>60</v>
      </c>
    </row>
    <row r="17" spans="1:11" x14ac:dyDescent="0.3">
      <c r="C17" s="8" t="s">
        <v>15</v>
      </c>
      <c r="D17" s="8" t="s">
        <v>15</v>
      </c>
      <c r="E17" s="8" t="s">
        <v>15</v>
      </c>
      <c r="F17" s="8" t="s">
        <v>15</v>
      </c>
      <c r="K17" s="5"/>
    </row>
    <row r="18" spans="1:11" x14ac:dyDescent="0.3">
      <c r="B18" s="2" t="s">
        <v>17</v>
      </c>
      <c r="C18" s="7">
        <v>30</v>
      </c>
      <c r="D18" s="7">
        <v>55</v>
      </c>
      <c r="E18" s="7">
        <v>40</v>
      </c>
      <c r="F18" s="7">
        <v>60</v>
      </c>
      <c r="K18" s="9"/>
    </row>
    <row r="20" spans="1:11" x14ac:dyDescent="0.3">
      <c r="A20" s="10" t="s">
        <v>10</v>
      </c>
      <c r="B20" s="11">
        <f>SUMPRODUCT(UnitCosts,Shipped)</f>
        <v>2080</v>
      </c>
    </row>
  </sheetData>
  <phoneticPr fontId="0" type="noConversion"/>
  <printOptions horizontalCentered="1" verticalCentered="1" headings="1" gridLines="1" gridLinesSet="0"/>
  <pageMargins left="0.75" right="0.75" top="1" bottom="1" header="0.5" footer="0.5"/>
  <pageSetup orientation="portrait" horizontalDpi="300" verticalDpi="300" r:id="rId1"/>
  <headerFooter alignWithMargins="0">
    <oddFooter>&amp;C&amp;"Arial,Bold"Exhibit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enarios">
                <anchor moveWithCells="1" sizeWithCells="1">
                  <from>
                    <xdr:col>6</xdr:col>
                    <xdr:colOff>586740</xdr:colOff>
                    <xdr:row>17</xdr:row>
                    <xdr:rowOff>167640</xdr:rowOff>
                  </from>
                  <to>
                    <xdr:col>9</xdr:col>
                    <xdr:colOff>350520</xdr:colOff>
                    <xdr:row>20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F13"/>
  <sheetViews>
    <sheetView workbookViewId="0">
      <selection activeCell="I2" sqref="I2"/>
    </sheetView>
  </sheetViews>
  <sheetFormatPr defaultColWidth="9.109375" defaultRowHeight="14.4" x14ac:dyDescent="0.3"/>
  <cols>
    <col min="1" max="1" width="14.33203125" style="2" customWidth="1"/>
    <col min="2" max="2" width="10.6640625" style="2" customWidth="1"/>
    <col min="3" max="6" width="9.88671875" style="2" bestFit="1" customWidth="1"/>
    <col min="7" max="7" width="9.109375" style="2"/>
    <col min="8" max="8" width="7.6640625" style="2" customWidth="1"/>
    <col min="9" max="16384" width="9.109375" style="2"/>
  </cols>
  <sheetData>
    <row r="1" spans="1:6" x14ac:dyDescent="0.3">
      <c r="A1" s="1" t="s">
        <v>20</v>
      </c>
    </row>
    <row r="3" spans="1:6" x14ac:dyDescent="0.3">
      <c r="B3" s="5" t="s">
        <v>21</v>
      </c>
      <c r="C3" s="5" t="s">
        <v>22</v>
      </c>
      <c r="D3" s="5" t="s">
        <v>23</v>
      </c>
      <c r="E3" s="5" t="s">
        <v>24</v>
      </c>
      <c r="F3" s="5" t="s">
        <v>25</v>
      </c>
    </row>
    <row r="4" spans="1:6" x14ac:dyDescent="0.3">
      <c r="A4" s="2" t="s">
        <v>18</v>
      </c>
    </row>
    <row r="5" spans="1:6" x14ac:dyDescent="0.3">
      <c r="A5" s="2" t="s">
        <v>6</v>
      </c>
      <c r="B5" s="2">
        <v>35</v>
      </c>
      <c r="C5" s="2">
        <v>65</v>
      </c>
      <c r="D5" s="2">
        <v>45</v>
      </c>
      <c r="E5" s="2">
        <v>50</v>
      </c>
      <c r="F5" s="2">
        <v>70</v>
      </c>
    </row>
    <row r="6" spans="1:6" x14ac:dyDescent="0.3">
      <c r="A6" s="2" t="s">
        <v>8</v>
      </c>
      <c r="B6" s="2">
        <v>50</v>
      </c>
      <c r="C6" s="2">
        <v>60</v>
      </c>
      <c r="D6" s="2">
        <v>50</v>
      </c>
      <c r="E6" s="2">
        <v>70</v>
      </c>
      <c r="F6" s="2">
        <v>75</v>
      </c>
    </row>
    <row r="7" spans="1:6" x14ac:dyDescent="0.3">
      <c r="A7" s="2" t="s">
        <v>9</v>
      </c>
      <c r="B7" s="2">
        <v>40</v>
      </c>
      <c r="C7" s="2">
        <v>70</v>
      </c>
      <c r="D7" s="2">
        <v>70</v>
      </c>
      <c r="E7" s="2">
        <v>60</v>
      </c>
      <c r="F7" s="2">
        <v>45</v>
      </c>
    </row>
    <row r="9" spans="1:6" x14ac:dyDescent="0.3">
      <c r="A9" s="2" t="s">
        <v>19</v>
      </c>
    </row>
    <row r="10" spans="1:6" x14ac:dyDescent="0.3">
      <c r="A10" s="2" t="s">
        <v>2</v>
      </c>
      <c r="B10" s="2">
        <v>45</v>
      </c>
      <c r="C10" s="2">
        <v>60</v>
      </c>
      <c r="D10" s="2">
        <v>40</v>
      </c>
      <c r="E10" s="2">
        <v>25</v>
      </c>
      <c r="F10" s="2">
        <v>30</v>
      </c>
    </row>
    <row r="11" spans="1:6" x14ac:dyDescent="0.3">
      <c r="A11" s="2" t="s">
        <v>3</v>
      </c>
      <c r="B11" s="2">
        <v>20</v>
      </c>
      <c r="C11" s="2">
        <v>40</v>
      </c>
      <c r="D11" s="2">
        <v>30</v>
      </c>
      <c r="E11" s="2">
        <v>35</v>
      </c>
      <c r="F11" s="2">
        <v>55</v>
      </c>
    </row>
    <row r="12" spans="1:6" x14ac:dyDescent="0.3">
      <c r="A12" s="2" t="s">
        <v>4</v>
      </c>
      <c r="B12" s="2">
        <v>30</v>
      </c>
      <c r="C12" s="2">
        <v>25</v>
      </c>
      <c r="D12" s="2">
        <v>20</v>
      </c>
      <c r="E12" s="2">
        <v>40</v>
      </c>
      <c r="F12" s="2">
        <v>40</v>
      </c>
    </row>
    <row r="13" spans="1:6" x14ac:dyDescent="0.3">
      <c r="A13" s="2" t="s">
        <v>5</v>
      </c>
      <c r="B13" s="2">
        <v>30</v>
      </c>
      <c r="C13" s="2">
        <v>35</v>
      </c>
      <c r="D13" s="2">
        <v>50</v>
      </c>
      <c r="E13" s="2">
        <v>35</v>
      </c>
      <c r="F13" s="2">
        <v>60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F33"/>
  <sheetViews>
    <sheetView workbookViewId="0">
      <selection activeCell="K12" sqref="K12"/>
    </sheetView>
  </sheetViews>
  <sheetFormatPr defaultColWidth="9.109375" defaultRowHeight="14.4" x14ac:dyDescent="0.3"/>
  <cols>
    <col min="1" max="7" width="9.109375" style="2"/>
    <col min="8" max="8" width="7.6640625" style="2" customWidth="1"/>
    <col min="9" max="16384" width="9.109375" style="2"/>
  </cols>
  <sheetData>
    <row r="1" spans="1:6" x14ac:dyDescent="0.3">
      <c r="A1" s="1" t="s">
        <v>26</v>
      </c>
    </row>
    <row r="3" spans="1:6" x14ac:dyDescent="0.3">
      <c r="A3" s="2" t="s">
        <v>45</v>
      </c>
    </row>
    <row r="4" spans="1:6" x14ac:dyDescent="0.3">
      <c r="A4" s="2" t="s">
        <v>11</v>
      </c>
      <c r="F4" s="2" t="s">
        <v>10</v>
      </c>
    </row>
    <row r="5" spans="1:6" x14ac:dyDescent="0.3">
      <c r="A5" s="2">
        <v>0</v>
      </c>
      <c r="B5" s="2">
        <v>10</v>
      </c>
      <c r="C5" s="2">
        <v>25</v>
      </c>
      <c r="D5" s="2">
        <v>0</v>
      </c>
      <c r="F5" s="12">
        <v>1020</v>
      </c>
    </row>
    <row r="6" spans="1:6" x14ac:dyDescent="0.3">
      <c r="A6" s="2">
        <v>45</v>
      </c>
      <c r="B6" s="2">
        <v>0</v>
      </c>
      <c r="C6" s="2">
        <v>5</v>
      </c>
      <c r="D6" s="2">
        <v>0</v>
      </c>
    </row>
    <row r="7" spans="1:6" x14ac:dyDescent="0.3">
      <c r="A7" s="2">
        <v>0</v>
      </c>
      <c r="B7" s="2">
        <v>10</v>
      </c>
      <c r="C7" s="2">
        <v>0</v>
      </c>
      <c r="D7" s="2">
        <v>30</v>
      </c>
    </row>
    <row r="8" spans="1:6" x14ac:dyDescent="0.3">
      <c r="A8" s="2" t="s">
        <v>41</v>
      </c>
    </row>
    <row r="10" spans="1:6" x14ac:dyDescent="0.3">
      <c r="A10" s="2">
        <v>0</v>
      </c>
      <c r="B10" s="2">
        <v>5</v>
      </c>
      <c r="C10" s="2">
        <v>25</v>
      </c>
      <c r="D10" s="2">
        <v>35</v>
      </c>
      <c r="F10" s="15">
        <v>1730</v>
      </c>
    </row>
    <row r="11" spans="1:6" x14ac:dyDescent="0.3">
      <c r="A11" s="2">
        <v>25</v>
      </c>
      <c r="B11" s="2">
        <v>35</v>
      </c>
      <c r="C11" s="2">
        <v>0</v>
      </c>
      <c r="D11" s="2">
        <v>0</v>
      </c>
      <c r="F11" s="15"/>
    </row>
    <row r="12" spans="1:6" x14ac:dyDescent="0.3">
      <c r="A12" s="2">
        <v>35</v>
      </c>
      <c r="B12" s="2">
        <v>0</v>
      </c>
      <c r="C12" s="2">
        <v>0</v>
      </c>
      <c r="D12" s="2">
        <v>0</v>
      </c>
      <c r="F12" s="15"/>
    </row>
    <row r="13" spans="1:6" x14ac:dyDescent="0.3">
      <c r="A13" s="2" t="s">
        <v>42</v>
      </c>
      <c r="F13" s="15"/>
    </row>
    <row r="14" spans="1:6" x14ac:dyDescent="0.3">
      <c r="F14" s="15"/>
    </row>
    <row r="15" spans="1:6" x14ac:dyDescent="0.3">
      <c r="A15" s="2">
        <v>0</v>
      </c>
      <c r="B15" s="2">
        <v>0</v>
      </c>
      <c r="C15" s="2">
        <v>0</v>
      </c>
      <c r="D15" s="2">
        <v>45</v>
      </c>
      <c r="F15" s="15">
        <v>1605</v>
      </c>
    </row>
    <row r="16" spans="1:6" x14ac:dyDescent="0.3">
      <c r="A16" s="2">
        <v>0</v>
      </c>
      <c r="B16" s="2">
        <v>25</v>
      </c>
      <c r="C16" s="2">
        <v>20</v>
      </c>
      <c r="D16" s="2">
        <v>5</v>
      </c>
      <c r="F16" s="15"/>
    </row>
    <row r="17" spans="1:6" x14ac:dyDescent="0.3">
      <c r="A17" s="2">
        <v>40</v>
      </c>
      <c r="B17" s="2">
        <v>5</v>
      </c>
      <c r="C17" s="2">
        <v>0</v>
      </c>
      <c r="D17" s="2">
        <v>0</v>
      </c>
      <c r="F17" s="15"/>
    </row>
    <row r="18" spans="1:6" x14ac:dyDescent="0.3">
      <c r="A18" s="2" t="s">
        <v>43</v>
      </c>
      <c r="F18" s="15"/>
    </row>
    <row r="19" spans="1:6" x14ac:dyDescent="0.3">
      <c r="F19" s="15"/>
    </row>
    <row r="20" spans="1:6" x14ac:dyDescent="0.3">
      <c r="A20" s="2">
        <v>0</v>
      </c>
      <c r="B20" s="2">
        <v>0</v>
      </c>
      <c r="C20" s="2">
        <v>15</v>
      </c>
      <c r="D20" s="2">
        <v>35</v>
      </c>
      <c r="F20" s="15">
        <v>1510</v>
      </c>
    </row>
    <row r="21" spans="1:6" x14ac:dyDescent="0.3">
      <c r="A21" s="2">
        <v>10</v>
      </c>
      <c r="B21" s="2">
        <v>35</v>
      </c>
      <c r="C21" s="2">
        <v>25</v>
      </c>
      <c r="D21" s="2">
        <v>0</v>
      </c>
      <c r="F21" s="15"/>
    </row>
    <row r="22" spans="1:6" x14ac:dyDescent="0.3">
      <c r="A22" s="2">
        <v>15</v>
      </c>
      <c r="B22" s="2">
        <v>0</v>
      </c>
      <c r="C22" s="2">
        <v>0</v>
      </c>
      <c r="D22" s="2">
        <v>0</v>
      </c>
      <c r="F22" s="15"/>
    </row>
    <row r="23" spans="1:6" x14ac:dyDescent="0.3">
      <c r="A23" s="2" t="s">
        <v>44</v>
      </c>
      <c r="F23" s="15"/>
    </row>
    <row r="24" spans="1:6" x14ac:dyDescent="0.3">
      <c r="F24" s="15"/>
    </row>
    <row r="25" spans="1:6" x14ac:dyDescent="0.3">
      <c r="A25" s="2">
        <v>0</v>
      </c>
      <c r="B25" s="2">
        <v>0</v>
      </c>
      <c r="C25" s="2">
        <v>10</v>
      </c>
      <c r="D25" s="2">
        <v>60</v>
      </c>
      <c r="F25" s="15">
        <v>2080</v>
      </c>
    </row>
    <row r="26" spans="1:6" x14ac:dyDescent="0.3">
      <c r="A26" s="2">
        <v>0</v>
      </c>
      <c r="B26" s="2">
        <v>45</v>
      </c>
      <c r="C26" s="2">
        <v>30</v>
      </c>
      <c r="D26" s="2">
        <v>0</v>
      </c>
      <c r="F26" s="15"/>
    </row>
    <row r="27" spans="1:6" x14ac:dyDescent="0.3">
      <c r="A27" s="2">
        <v>30</v>
      </c>
      <c r="B27" s="2">
        <v>10</v>
      </c>
      <c r="C27" s="2">
        <v>0</v>
      </c>
      <c r="D27" s="2">
        <v>0</v>
      </c>
      <c r="F27" s="15"/>
    </row>
    <row r="28" spans="1:6" x14ac:dyDescent="0.3">
      <c r="F28" s="15"/>
    </row>
    <row r="29" spans="1:6" x14ac:dyDescent="0.3">
      <c r="F29" s="15"/>
    </row>
    <row r="30" spans="1:6" x14ac:dyDescent="0.3">
      <c r="F30" s="15"/>
    </row>
    <row r="31" spans="1:6" x14ac:dyDescent="0.3">
      <c r="F31" s="15"/>
    </row>
    <row r="32" spans="1:6" x14ac:dyDescent="0.3">
      <c r="F32" s="15"/>
    </row>
    <row r="33" spans="6:6" x14ac:dyDescent="0.3">
      <c r="F33" s="15"/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leanstuff">
                <anchor moveWithCells="1" sizeWithCells="1">
                  <from>
                    <xdr:col>7</xdr:col>
                    <xdr:colOff>373380</xdr:colOff>
                    <xdr:row>6</xdr:row>
                    <xdr:rowOff>121920</xdr:rowOff>
                  </from>
                  <to>
                    <xdr:col>12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Model</vt:lpstr>
      <vt:lpstr>Scenarios</vt:lpstr>
      <vt:lpstr>Results</vt:lpstr>
      <vt:lpstr>Chart1</vt:lpstr>
      <vt:lpstr>Capacities</vt:lpstr>
      <vt:lpstr>Demands</vt:lpstr>
      <vt:lpstr>Shipped</vt:lpstr>
      <vt:lpstr>ShippedIn</vt:lpstr>
      <vt:lpstr>ShippedOut</vt:lpstr>
      <vt:lpstr>TotalCost</vt:lpstr>
      <vt:lpstr>UnitCosts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Rafael Ramos</cp:lastModifiedBy>
  <dcterms:created xsi:type="dcterms:W3CDTF">1997-08-23T19:52:10Z</dcterms:created>
  <dcterms:modified xsi:type="dcterms:W3CDTF">2023-02-13T04:37:52Z</dcterms:modified>
</cp:coreProperties>
</file>